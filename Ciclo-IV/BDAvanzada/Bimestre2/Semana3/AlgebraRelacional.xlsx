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araguro/Documents/Ciclo4/BDAvanzada/Bimestre2/Semana3/"/>
    </mc:Choice>
  </mc:AlternateContent>
  <xr:revisionPtr revIDLastSave="0" documentId="13_ncr:1_{7119B29E-70E1-074C-A97D-D77606C34518}" xr6:coauthVersionLast="47" xr6:coauthVersionMax="47" xr10:uidLastSave="{00000000-0000-0000-0000-000000000000}"/>
  <bookViews>
    <workbookView xWindow="0" yWindow="740" windowWidth="30240" windowHeight="18900" activeTab="1" xr2:uid="{9F5B5B64-AF30-7146-874C-2E71153AA51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2" l="1"/>
  <c r="C65" i="2" s="1"/>
  <c r="D65" i="2" s="1"/>
  <c r="C51" i="2"/>
  <c r="B51" i="2"/>
  <c r="C75" i="2"/>
  <c r="B75" i="2"/>
  <c r="D75" i="2" s="1"/>
  <c r="B73" i="2"/>
  <c r="B52" i="2"/>
  <c r="C54" i="2"/>
  <c r="C72" i="2"/>
  <c r="B72" i="2"/>
  <c r="B65" i="2"/>
  <c r="B54" i="2" l="1"/>
  <c r="D54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<sst xmlns="http://schemas.openxmlformats.org/spreadsheetml/2006/main" count="178" uniqueCount="65">
  <si>
    <r>
      <t>P</t>
    </r>
    <r>
      <rPr>
        <b/>
        <sz val="13.5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l.titulo, e.editorial (</t>
    </r>
    <r>
      <rPr>
        <b/>
        <sz val="13.5"/>
        <color rgb="FF000000"/>
        <rFont val="Symbol"/>
        <charset val="2"/>
      </rPr>
      <t>s</t>
    </r>
    <r>
      <rPr>
        <b/>
        <sz val="13.5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l.idedit = e.idedit AND l.nropag &gt; 400 ((</t>
    </r>
    <r>
      <rPr>
        <b/>
        <sz val="13.5"/>
        <color rgb="FF000000"/>
        <rFont val="Symbol"/>
        <charset val="2"/>
      </rPr>
      <t>r</t>
    </r>
    <r>
      <rPr>
        <b/>
        <sz val="13.5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 xml:space="preserve">l libros) </t>
    </r>
    <r>
      <rPr>
        <b/>
        <sz val="13.5"/>
        <color rgb="FF000000"/>
        <rFont val="Times New Roman"/>
        <family val="1"/>
      </rPr>
      <t xml:space="preserve">x </t>
    </r>
    <r>
      <rPr>
        <sz val="13.5"/>
        <color rgb="FF000000"/>
        <rFont val="Times New Roman"/>
        <family val="1"/>
      </rPr>
      <t>(</t>
    </r>
    <r>
      <rPr>
        <b/>
        <sz val="13.5"/>
        <color rgb="FF000000"/>
        <rFont val="Symbol"/>
        <charset val="2"/>
      </rPr>
      <t>r</t>
    </r>
    <r>
      <rPr>
        <sz val="13.5"/>
        <color rgb="FF000000"/>
        <rFont val="Times New Roman"/>
        <family val="1"/>
      </rPr>
      <t xml:space="preserve"> e editoriales)))</t>
    </r>
  </si>
  <si>
    <t>LIBROS</t>
  </si>
  <si>
    <t>idLib</t>
  </si>
  <si>
    <t>Titulo</t>
  </si>
  <si>
    <t>idEdit</t>
  </si>
  <si>
    <t>nroPag</t>
  </si>
  <si>
    <t>EDITORIALES</t>
  </si>
  <si>
    <t>Editorial</t>
  </si>
  <si>
    <t>ALFAOMEGA</t>
  </si>
  <si>
    <t>PEARSON</t>
  </si>
  <si>
    <t>LIMUSA</t>
  </si>
  <si>
    <t>JAVA</t>
  </si>
  <si>
    <t>RUBY</t>
  </si>
  <si>
    <t>ORACLE</t>
  </si>
  <si>
    <t>PYTHON</t>
  </si>
  <si>
    <t>Posibles Planes Ejecucion</t>
  </si>
  <si>
    <t>Costo I/O</t>
  </si>
  <si>
    <t>Operacion</t>
  </si>
  <si>
    <t>1) Producto Cartesiano</t>
  </si>
  <si>
    <t>Lecturas</t>
  </si>
  <si>
    <t>Escrituras</t>
  </si>
  <si>
    <t>2) Filtrar tuplas</t>
  </si>
  <si>
    <t>3) Proyectar</t>
  </si>
  <si>
    <t>oper I/O</t>
  </si>
  <si>
    <r>
      <t>P</t>
    </r>
    <r>
      <rPr>
        <b/>
        <sz val="13.5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l.titulo, e.editorial (</t>
    </r>
    <r>
      <rPr>
        <b/>
        <sz val="13.5"/>
        <color rgb="FF000000"/>
        <rFont val="Symbol"/>
        <charset val="2"/>
      </rPr>
      <t>s</t>
    </r>
    <r>
      <rPr>
        <sz val="13.5"/>
        <color rgb="FF000000"/>
        <rFont val="Times New Roman"/>
        <family val="1"/>
      </rPr>
      <t xml:space="preserve"> l.nropag &gt; 400 ((</t>
    </r>
    <r>
      <rPr>
        <b/>
        <sz val="13.5"/>
        <color rgb="FF000000"/>
        <rFont val="Symbol"/>
        <charset val="2"/>
      </rPr>
      <t>r</t>
    </r>
    <r>
      <rPr>
        <sz val="13.5"/>
        <color rgb="FF000000"/>
        <rFont val="Times New Roman"/>
        <family val="1"/>
      </rPr>
      <t xml:space="preserve"> l libros) </t>
    </r>
    <r>
      <rPr>
        <b/>
        <sz val="13.5"/>
        <color rgb="FF000000"/>
        <rFont val="Times New Roman"/>
        <family val="1"/>
      </rPr>
      <t xml:space="preserve">|x| </t>
    </r>
    <r>
      <rPr>
        <sz val="13.5"/>
        <color rgb="FF000000"/>
        <rFont val="Times New Roman"/>
        <family val="1"/>
      </rPr>
      <t>l.idedit = e.idedit (</t>
    </r>
    <r>
      <rPr>
        <b/>
        <sz val="13.5"/>
        <color rgb="FF000000"/>
        <rFont val="Symbol"/>
        <charset val="2"/>
      </rPr>
      <t>r</t>
    </r>
    <r>
      <rPr>
        <sz val="13.5"/>
        <color rgb="FF000000"/>
        <rFont val="Times New Roman"/>
        <family val="1"/>
      </rPr>
      <t xml:space="preserve"> e editoriales)))</t>
    </r>
  </si>
  <si>
    <t>1) Join</t>
  </si>
  <si>
    <r>
      <t>P</t>
    </r>
    <r>
      <rPr>
        <b/>
        <sz val="13.5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l.titulo, e.editorial ((</t>
    </r>
    <r>
      <rPr>
        <b/>
        <sz val="13.5"/>
        <color rgb="FF000000"/>
        <rFont val="Symbol"/>
        <charset val="2"/>
      </rPr>
      <t>s</t>
    </r>
    <r>
      <rPr>
        <sz val="13.5"/>
        <color rgb="FF000000"/>
        <rFont val="Times New Roman"/>
        <family val="1"/>
      </rPr>
      <t xml:space="preserve"> l.nropag &gt; 400 (</t>
    </r>
    <r>
      <rPr>
        <b/>
        <sz val="13.5"/>
        <color rgb="FF000000"/>
        <rFont val="Symbol"/>
        <charset val="2"/>
      </rPr>
      <t>r</t>
    </r>
    <r>
      <rPr>
        <sz val="13.5"/>
        <color rgb="FF000000"/>
        <rFont val="Times New Roman"/>
        <family val="1"/>
      </rPr>
      <t xml:space="preserve"> l libros)) </t>
    </r>
    <r>
      <rPr>
        <b/>
        <sz val="13.5"/>
        <color rgb="FF000000"/>
        <rFont val="Times New Roman"/>
        <family val="1"/>
      </rPr>
      <t xml:space="preserve">|x| </t>
    </r>
    <r>
      <rPr>
        <sz val="13.5"/>
        <color rgb="FF000000"/>
        <rFont val="Times New Roman"/>
        <family val="1"/>
      </rPr>
      <t>l.idedit = e.idedit (</t>
    </r>
    <r>
      <rPr>
        <b/>
        <sz val="13.5"/>
        <color rgb="FF000000"/>
        <rFont val="Symbol"/>
        <charset val="2"/>
      </rPr>
      <t>r</t>
    </r>
    <r>
      <rPr>
        <b/>
        <sz val="13.5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e editoriales))</t>
    </r>
  </si>
  <si>
    <t>2) Join</t>
  </si>
  <si>
    <t>1) Filtrar Libros</t>
  </si>
  <si>
    <t>Solución:</t>
  </si>
  <si>
    <t>wh</t>
  </si>
  <si>
    <t>idLibro</t>
  </si>
  <si>
    <t>isbn</t>
  </si>
  <si>
    <t>titulo</t>
  </si>
  <si>
    <t>sinopsis</t>
  </si>
  <si>
    <t>numPaginas</t>
  </si>
  <si>
    <t>idioma</t>
  </si>
  <si>
    <t>codArea</t>
  </si>
  <si>
    <t xml:space="preserve">anio </t>
  </si>
  <si>
    <t>nmroEdicion</t>
  </si>
  <si>
    <t>portada</t>
  </si>
  <si>
    <t>cantEjemplares</t>
  </si>
  <si>
    <t>nombreEdit</t>
  </si>
  <si>
    <t>pais</t>
  </si>
  <si>
    <t>web</t>
  </si>
  <si>
    <t>editoriales: 200</t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</si>
  <si>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libros: 10000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</si>
  <si>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libros del 2016 con más de 500 páginas: 250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</si>
  <si>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libros publicados en Argentina el 2016 con más de 500 páginas: 20</t>
    </r>
  </si>
  <si>
    <t xml:space="preserve">Realizar producto cartesiano entre libros y editoriales. </t>
  </si>
  <si>
    <t>Aplicar filtros</t>
  </si>
  <si>
    <t>Proyectar columnas</t>
  </si>
  <si>
    <t>TOTAL</t>
  </si>
  <si>
    <t xml:space="preserve">OPERACION </t>
  </si>
  <si>
    <t>LECTURA</t>
  </si>
  <si>
    <t>ESCRITURA</t>
  </si>
  <si>
    <t xml:space="preserve">Filtrar de la tabla libros. </t>
  </si>
  <si>
    <t>Join, combinar entre el resultado del filtro de libros y editoriales.</t>
  </si>
  <si>
    <t>OPERACION</t>
  </si>
  <si>
    <t>Aplicar el filtro al resultado del JOIN</t>
  </si>
  <si>
    <t>Join, combinar libros y editoriales</t>
  </si>
  <si>
    <t>Aplicar Filtros</t>
  </si>
  <si>
    <t>PLAN A</t>
  </si>
  <si>
    <t>PLAN B</t>
  </si>
  <si>
    <t>PLAN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</si>
</sst>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3.5"/>
      <color rgb="FF000000"/>
      <name val="Symbol"/>
      <charset val="2"/>
    </font>
    <font>
      <b/>
      <sz val="13.5"/>
      <color rgb="FF000000"/>
      <name val="Times New Roman"/>
      <family val="1"/>
    </font>
    <font>
      <sz val="13.5"/>
      <color rgb="FF000000"/>
      <name val="Times New Roman"/>
      <family val="1"/>
    </font>
    <font>
      <b/>
      <sz val="12"/>
      <color theme="1"/>
      <name val="Aptos Narrow"/>
      <scheme val="minor"/>
    </font>
    <font>
      <b/>
      <sz val="11"/>
      <color theme="1"/>
      <name val="Cambria"/>
      <family val="1"/>
    </font>
    <font>
      <sz val="11"/>
      <color rgb="FF000000"/>
      <name val="Helvetica"/>
      <family val="2"/>
    </font>
    <font>
      <sz val="11"/>
      <color rgb="FF000000"/>
      <name val="Arial"/>
      <family val="2"/>
    </font>
    <font>
      <b/>
      <sz val="10"/>
      <color rgb="FF000000"/>
      <name val="Cambria"/>
      <family val="1"/>
    </font>
    <font>
      <sz val="10"/>
      <color theme="1"/>
      <name val="Aptos Narrow"/>
      <family val="2"/>
      <scheme val="minor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0" fillId="4" borderId="1" xfId="0" applyFill="1" applyBorder="1"/>
    <xf numFmtId="0" fontId="0" fillId="0" borderId="1" xfId="0" applyBorder="1"/>
    <xf numFmtId="0" fontId="0" fillId="3" borderId="1" xfId="0" applyFill="1" applyBorder="1"/>
    <xf numFmtId="0" fontId="4" fillId="0" borderId="1" xfId="0" applyFont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5" borderId="2" xfId="0" applyFill="1" applyBorder="1"/>
    <xf numFmtId="0" fontId="0" fillId="0" borderId="2" xfId="0" applyBorder="1"/>
    <xf numFmtId="0" fontId="0" fillId="6" borderId="2" xfId="0" applyFill="1" applyBorder="1"/>
    <xf numFmtId="0" fontId="1" fillId="8" borderId="0" xfId="0" applyFont="1" applyFill="1" applyAlignment="1">
      <alignment vertical="center"/>
    </xf>
    <xf numFmtId="0" fontId="0" fillId="8" borderId="0" xfId="0" applyFill="1"/>
    <xf numFmtId="0" fontId="4" fillId="3" borderId="1" xfId="0" applyFont="1" applyFill="1" applyBorder="1"/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10" fillId="0" borderId="0" xfId="0" applyFon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37582-A5A3-414E-BAEF-8446A5951B71}" name="Tabla1" displayName="Tabla1" ref="F3:G6" totalsRowShown="0" headerRowDxfId="20">
  <autoFilter ref="F3:G6" xr:uid="{2A137582-A5A3-414E-BAEF-8446A5951B71}"/>
  <tableColumns count="2">
    <tableColumn id="1" xr3:uid="{970B71F2-84A9-F04F-BA3F-61127081BC42}" name="idEdit"/>
    <tableColumn id="2" xr3:uid="{D7DDF03C-C03D-AF47-822E-6F3469F0B80C}" name="Editoria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FA0D3-D8D0-C54D-B817-91F9451C5AB3}" name="Tabla2" displayName="Tabla2" ref="A3:D7" totalsRowShown="0" headerRowDxfId="19">
  <autoFilter ref="A3:D7" xr:uid="{E08FA0D3-D8D0-C54D-B817-91F9451C5AB3}"/>
  <tableColumns count="4">
    <tableColumn id="1" xr3:uid="{D80D4454-2ECE-DD42-A537-5C99C270EFF7}" name="idLib"/>
    <tableColumn id="2" xr3:uid="{A8E51C88-356C-A446-A15B-FF7898E4D552}" name="Titulo"/>
    <tableColumn id="3" xr3:uid="{C6588B38-DB3D-514E-8B83-E379EB9B7BFB}" name="nroPag"/>
    <tableColumn id="4" xr3:uid="{1E0E8C10-9CFA-F441-8A6D-9BC14005D791}" name="idEdi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5E42E9-F231-7249-8179-691F16F897DB}" name="Tabla3" displayName="Tabla3" ref="H13:J17" totalsRowShown="0" headerRowDxfId="18">
  <autoFilter ref="H13:J17" xr:uid="{0C5E42E9-F231-7249-8179-691F16F897DB}"/>
  <tableColumns count="3">
    <tableColumn id="1" xr3:uid="{5AC3F553-D4FD-1448-9D3F-F2DFBED4188D}" name="Operacion"/>
    <tableColumn id="2" xr3:uid="{5110F789-9C86-C340-8476-FBA65206A50B}" name="Lecturas"/>
    <tableColumn id="3" xr3:uid="{0C483726-DFEC-5A4F-8E04-924E3B41CE41}" name="Escritura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D303C6-814A-064C-A74B-B8724DAF136B}" name="Tabla35" displayName="Tabla35" ref="H29:J33" totalsRowShown="0" headerRowDxfId="17">
  <autoFilter ref="H29:J33" xr:uid="{84D303C6-814A-064C-A74B-B8724DAF136B}"/>
  <tableColumns count="3">
    <tableColumn id="1" xr3:uid="{1900D4A4-B4CA-B44D-BA25-C4198F5B2F95}" name="Operacion"/>
    <tableColumn id="2" xr3:uid="{AD6B7B2A-CEDC-6A49-9D90-A2BADF7C23A8}" name="Lecturas"/>
    <tableColumn id="3" xr3:uid="{690CEA87-E0A3-8340-A02A-447673B502B1}" name="Escritura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9BD7CE-36FE-014B-A2F2-9F6586F57AAE}" name="Tabla358" displayName="Tabla358" ref="H37:J41" totalsRowShown="0" headerRowDxfId="16">
  <autoFilter ref="H37:J41" xr:uid="{7C9BD7CE-36FE-014B-A2F2-9F6586F57AAE}"/>
  <tableColumns count="3">
    <tableColumn id="1" xr3:uid="{EBA1B125-3809-0749-92D9-87E6827F27D9}" name="Operacion"/>
    <tableColumn id="2" xr3:uid="{CED076F9-91DA-F54B-AE24-A4555515DD94}" name="Lecturas"/>
    <tableColumn id="3" xr3:uid="{45D39DF8-B433-5C46-9C5F-097AB44E2594}" name="Escritura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80342F-98D8-A54D-98BE-5E44B09507AA}" name="Tabla359" displayName="Tabla359" ref="A28:C32" totalsRowShown="0" headerRowDxfId="15">
  <autoFilter ref="A28:C32" xr:uid="{BA80342F-98D8-A54D-98BE-5E44B09507AA}"/>
  <tableColumns count="3">
    <tableColumn id="1" xr3:uid="{E77730E9-2289-8849-BABF-499F416E363E}" name="Operacion"/>
    <tableColumn id="2" xr3:uid="{D1993B3B-5704-3B4E-9B55-CE4097B7D9CF}" name="Lecturas"/>
    <tableColumn id="3" xr3:uid="{0AFB28C6-1D1A-6447-A9AB-E52197E7C83C}" name="Escrituras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89399F-555D-3E4B-84CE-3E0957A1E8B5}" name="Tabla9" displayName="Tabla9" ref="A50:C54" totalsRowShown="0" headerRowDxfId="11" dataDxfId="10">
  <autoFilter ref="A50:C54" xr:uid="{2789399F-555D-3E4B-84CE-3E0957A1E8B5}"/>
  <tableColumns count="3">
    <tableColumn id="1" xr3:uid="{B5D6B816-AD47-7147-8421-79ABFBAE46A5}" name="OPERACION " dataDxfId="14"/>
    <tableColumn id="2" xr3:uid="{C4BD1613-3128-2F4A-9CE5-E5C6C69F9D8A}" name="LECTURA" dataDxfId="13"/>
    <tableColumn id="3" xr3:uid="{8F033082-3872-6842-962F-29F8B7D2B500}" name="ESCRITURA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826C78-AAAF-4042-BB21-A866BD473CBC}" name="Tabla12" displayName="Tabla12" ref="A60:C65" totalsRowShown="0" headerRowDxfId="6" dataDxfId="5">
  <autoFilter ref="A60:C65" xr:uid="{7A826C78-AAAF-4042-BB21-A866BD473CBC}"/>
  <tableColumns count="3">
    <tableColumn id="1" xr3:uid="{796516AA-D76B-4046-843E-2115DF59E353}" name="OPERACION" dataDxfId="9"/>
    <tableColumn id="2" xr3:uid="{5E3A2735-41AB-6B46-ADD1-9FD071F92941}" name="LECTURA" dataDxfId="8"/>
    <tableColumn id="3" xr3:uid="{0D874AAD-0432-0E49-BA54-5FA5714C164D}" name="ESCRITURA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792944-2673-954E-8CD1-A97D59EA5C19}" name="Tabla13" displayName="Tabla13" ref="A71:C75" totalsRowShown="0" headerRowDxfId="1" dataDxfId="0">
  <autoFilter ref="A71:C75" xr:uid="{CE792944-2673-954E-8CD1-A97D59EA5C19}"/>
  <tableColumns count="3">
    <tableColumn id="1" xr3:uid="{9C4234C3-811F-6D45-9A7F-E0D86C221EDF}" name="OPERACION" dataDxfId="4"/>
    <tableColumn id="2" xr3:uid="{3DF831AD-CFB0-144C-8BD5-4C9EADA0B534}" name="LECTURA" dataDxfId="3"/>
    <tableColumn id="3" xr3:uid="{077155B2-F26F-7541-814B-EA35D61EDE99}" name="ESCRITU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A07C-6638-1B42-BB93-72BE0B3346CA}">
  <dimension ref="A2:L42"/>
  <sheetViews>
    <sheetView topLeftCell="A24" zoomScale="161" workbookViewId="0">
      <selection activeCell="A27" sqref="A27:L33"/>
    </sheetView>
  </sheetViews>
  <sheetFormatPr baseColWidth="10" defaultRowHeight="16" x14ac:dyDescent="0.2"/>
  <cols>
    <col min="8" max="8" width="21.5" customWidth="1"/>
    <col min="10" max="10" width="11.1640625" customWidth="1"/>
  </cols>
  <sheetData>
    <row r="2" spans="1:10" x14ac:dyDescent="0.2">
      <c r="A2" s="1" t="s">
        <v>1</v>
      </c>
      <c r="F2" s="1" t="s">
        <v>6</v>
      </c>
    </row>
    <row r="3" spans="1:10" x14ac:dyDescent="0.2">
      <c r="A3" s="1" t="s">
        <v>2</v>
      </c>
      <c r="B3" s="1" t="s">
        <v>3</v>
      </c>
      <c r="C3" s="1" t="s">
        <v>5</v>
      </c>
      <c r="D3" s="1" t="s">
        <v>4</v>
      </c>
      <c r="F3" s="1" t="s">
        <v>4</v>
      </c>
      <c r="G3" s="1" t="s">
        <v>7</v>
      </c>
    </row>
    <row r="4" spans="1:10" x14ac:dyDescent="0.2">
      <c r="A4">
        <v>1</v>
      </c>
      <c r="B4" t="s">
        <v>11</v>
      </c>
      <c r="C4">
        <v>450</v>
      </c>
      <c r="D4">
        <v>3</v>
      </c>
      <c r="F4">
        <v>1</v>
      </c>
      <c r="G4" t="s">
        <v>8</v>
      </c>
    </row>
    <row r="5" spans="1:10" x14ac:dyDescent="0.2">
      <c r="A5">
        <v>2</v>
      </c>
      <c r="B5" t="s">
        <v>12</v>
      </c>
      <c r="C5">
        <v>300</v>
      </c>
      <c r="D5">
        <v>1</v>
      </c>
      <c r="F5">
        <v>2</v>
      </c>
      <c r="G5" t="s">
        <v>9</v>
      </c>
    </row>
    <row r="6" spans="1:10" x14ac:dyDescent="0.2">
      <c r="A6">
        <v>3</v>
      </c>
      <c r="B6" t="s">
        <v>13</v>
      </c>
      <c r="C6">
        <v>550</v>
      </c>
      <c r="D6">
        <v>2</v>
      </c>
      <c r="F6">
        <v>3</v>
      </c>
      <c r="G6" t="s">
        <v>10</v>
      </c>
    </row>
    <row r="7" spans="1:10" x14ac:dyDescent="0.2">
      <c r="A7">
        <v>4</v>
      </c>
      <c r="B7" t="s">
        <v>14</v>
      </c>
      <c r="C7">
        <v>400</v>
      </c>
      <c r="D7">
        <v>3</v>
      </c>
    </row>
    <row r="10" spans="1:10" x14ac:dyDescent="0.2">
      <c r="A10" s="1" t="s">
        <v>15</v>
      </c>
      <c r="B10" s="1"/>
    </row>
    <row r="11" spans="1:10" ht="18" x14ac:dyDescent="0.2">
      <c r="A11" s="13" t="s">
        <v>0</v>
      </c>
      <c r="B11" s="14"/>
      <c r="C11" s="14"/>
      <c r="D11" s="14"/>
      <c r="E11" s="14"/>
      <c r="F11" s="14"/>
      <c r="G11" s="14"/>
      <c r="H11" s="14"/>
    </row>
    <row r="12" spans="1:10" x14ac:dyDescent="0.2">
      <c r="A12" s="5" t="s">
        <v>2</v>
      </c>
      <c r="B12" s="5" t="s">
        <v>3</v>
      </c>
      <c r="C12" s="5" t="s">
        <v>5</v>
      </c>
      <c r="D12" s="5" t="s">
        <v>4</v>
      </c>
      <c r="E12" s="5" t="s">
        <v>4</v>
      </c>
      <c r="F12" s="5" t="s">
        <v>7</v>
      </c>
      <c r="H12" s="1" t="s">
        <v>16</v>
      </c>
    </row>
    <row r="13" spans="1:10" x14ac:dyDescent="0.2">
      <c r="A13" s="3">
        <v>1</v>
      </c>
      <c r="B13" s="3" t="s">
        <v>11</v>
      </c>
      <c r="C13" s="3">
        <v>450</v>
      </c>
      <c r="D13" s="3">
        <v>3</v>
      </c>
      <c r="E13" s="3">
        <v>1</v>
      </c>
      <c r="F13" s="3" t="s">
        <v>8</v>
      </c>
      <c r="H13" s="1" t="s">
        <v>17</v>
      </c>
      <c r="I13" s="1" t="s">
        <v>19</v>
      </c>
      <c r="J13" s="1" t="s">
        <v>20</v>
      </c>
    </row>
    <row r="14" spans="1:10" x14ac:dyDescent="0.2">
      <c r="A14" s="3">
        <v>1</v>
      </c>
      <c r="B14" s="3" t="s">
        <v>11</v>
      </c>
      <c r="C14" s="3">
        <v>450</v>
      </c>
      <c r="D14" s="3">
        <v>3</v>
      </c>
      <c r="E14" s="3">
        <v>2</v>
      </c>
      <c r="F14" s="3" t="s">
        <v>9</v>
      </c>
      <c r="H14" t="s">
        <v>18</v>
      </c>
      <c r="I14">
        <v>7</v>
      </c>
      <c r="J14">
        <v>12</v>
      </c>
    </row>
    <row r="15" spans="1:10" x14ac:dyDescent="0.2">
      <c r="A15" s="8">
        <v>1</v>
      </c>
      <c r="B15" s="6" t="s">
        <v>11</v>
      </c>
      <c r="C15" s="8">
        <v>450</v>
      </c>
      <c r="D15" s="8">
        <v>3</v>
      </c>
      <c r="E15" s="8">
        <v>3</v>
      </c>
      <c r="F15" s="6" t="s">
        <v>10</v>
      </c>
      <c r="H15" t="s">
        <v>21</v>
      </c>
      <c r="I15">
        <v>12</v>
      </c>
      <c r="J15">
        <v>2</v>
      </c>
    </row>
    <row r="16" spans="1:10" x14ac:dyDescent="0.2">
      <c r="A16" s="3">
        <v>2</v>
      </c>
      <c r="B16" s="3" t="s">
        <v>12</v>
      </c>
      <c r="C16" s="3">
        <v>300</v>
      </c>
      <c r="D16" s="3">
        <v>1</v>
      </c>
      <c r="E16" s="3">
        <v>1</v>
      </c>
      <c r="F16" s="3" t="s">
        <v>8</v>
      </c>
      <c r="H16" t="s">
        <v>22</v>
      </c>
      <c r="I16">
        <v>2</v>
      </c>
      <c r="J16">
        <v>0</v>
      </c>
    </row>
    <row r="17" spans="1:12" x14ac:dyDescent="0.2">
      <c r="A17" s="3">
        <v>2</v>
      </c>
      <c r="B17" s="3" t="s">
        <v>12</v>
      </c>
      <c r="C17" s="3">
        <v>300</v>
      </c>
      <c r="D17" s="3">
        <v>1</v>
      </c>
      <c r="E17" s="3">
        <v>2</v>
      </c>
      <c r="F17" s="3" t="s">
        <v>9</v>
      </c>
      <c r="I17">
        <v>21</v>
      </c>
      <c r="J17">
        <v>14</v>
      </c>
      <c r="K17">
        <v>35</v>
      </c>
      <c r="L17" t="s">
        <v>23</v>
      </c>
    </row>
    <row r="18" spans="1:12" x14ac:dyDescent="0.2">
      <c r="A18" s="3">
        <v>2</v>
      </c>
      <c r="B18" s="3" t="s">
        <v>12</v>
      </c>
      <c r="C18" s="3">
        <v>300</v>
      </c>
      <c r="D18" s="3">
        <v>1</v>
      </c>
      <c r="E18" s="3">
        <v>3</v>
      </c>
      <c r="F18" s="3" t="s">
        <v>10</v>
      </c>
    </row>
    <row r="19" spans="1:12" x14ac:dyDescent="0.2">
      <c r="A19" s="3">
        <v>3</v>
      </c>
      <c r="B19" s="3" t="s">
        <v>13</v>
      </c>
      <c r="C19" s="3">
        <v>550</v>
      </c>
      <c r="D19" s="3">
        <v>2</v>
      </c>
      <c r="E19" s="3">
        <v>1</v>
      </c>
      <c r="F19" s="3" t="s">
        <v>8</v>
      </c>
    </row>
    <row r="20" spans="1:12" x14ac:dyDescent="0.2">
      <c r="A20" s="8">
        <v>3</v>
      </c>
      <c r="B20" s="6" t="s">
        <v>13</v>
      </c>
      <c r="C20" s="8">
        <v>550</v>
      </c>
      <c r="D20" s="8">
        <v>2</v>
      </c>
      <c r="E20" s="8">
        <v>2</v>
      </c>
      <c r="F20" s="8" t="s">
        <v>9</v>
      </c>
    </row>
    <row r="21" spans="1:12" x14ac:dyDescent="0.2">
      <c r="A21" s="3">
        <v>3</v>
      </c>
      <c r="B21" s="3" t="s">
        <v>13</v>
      </c>
      <c r="C21" s="3">
        <v>550</v>
      </c>
      <c r="D21" s="3">
        <v>2</v>
      </c>
      <c r="E21" s="3">
        <v>3</v>
      </c>
      <c r="F21" s="3" t="s">
        <v>10</v>
      </c>
    </row>
    <row r="22" spans="1:12" x14ac:dyDescent="0.2">
      <c r="A22" s="3">
        <v>4</v>
      </c>
      <c r="B22" s="3" t="s">
        <v>14</v>
      </c>
      <c r="C22" s="3">
        <v>400</v>
      </c>
      <c r="D22" s="3">
        <v>3</v>
      </c>
      <c r="E22" s="3">
        <v>1</v>
      </c>
      <c r="F22" s="3" t="s">
        <v>8</v>
      </c>
    </row>
    <row r="23" spans="1:12" x14ac:dyDescent="0.2">
      <c r="A23" s="3">
        <v>4</v>
      </c>
      <c r="B23" s="3" t="s">
        <v>14</v>
      </c>
      <c r="C23" s="3">
        <v>400</v>
      </c>
      <c r="D23" s="3">
        <v>3</v>
      </c>
      <c r="E23" s="3">
        <v>2</v>
      </c>
      <c r="F23" s="3" t="s">
        <v>9</v>
      </c>
    </row>
    <row r="24" spans="1:12" x14ac:dyDescent="0.2">
      <c r="A24" s="3">
        <v>4</v>
      </c>
      <c r="B24" s="3" t="s">
        <v>14</v>
      </c>
      <c r="C24" s="3">
        <v>400</v>
      </c>
      <c r="D24" s="3" t="s">
        <v>30</v>
      </c>
      <c r="E24" s="3">
        <v>3</v>
      </c>
      <c r="F24" s="3" t="s">
        <v>10</v>
      </c>
    </row>
    <row r="27" spans="1:12" ht="18" x14ac:dyDescent="0.2">
      <c r="A27" s="13" t="s">
        <v>24</v>
      </c>
      <c r="B27" s="14"/>
      <c r="C27" s="14"/>
      <c r="D27" s="14"/>
      <c r="E27" s="14"/>
      <c r="F27" s="14"/>
      <c r="G27" s="14"/>
      <c r="H27" s="14"/>
    </row>
    <row r="28" spans="1:12" x14ac:dyDescent="0.2">
      <c r="A28" s="1" t="s">
        <v>2</v>
      </c>
      <c r="B28" s="5" t="s">
        <v>3</v>
      </c>
      <c r="C28" s="5" t="s">
        <v>5</v>
      </c>
      <c r="D28" s="5" t="s">
        <v>4</v>
      </c>
      <c r="E28" s="5" t="s">
        <v>4</v>
      </c>
      <c r="F28" s="5" t="s">
        <v>7</v>
      </c>
      <c r="H28" s="1" t="s">
        <v>16</v>
      </c>
    </row>
    <row r="29" spans="1:12" x14ac:dyDescent="0.2">
      <c r="A29" s="10">
        <v>1</v>
      </c>
      <c r="B29" s="9" t="s">
        <v>11</v>
      </c>
      <c r="C29" s="7">
        <v>450</v>
      </c>
      <c r="D29" s="7">
        <v>3</v>
      </c>
      <c r="E29" s="7">
        <v>3</v>
      </c>
      <c r="F29" s="9" t="s">
        <v>10</v>
      </c>
      <c r="H29" s="1" t="s">
        <v>17</v>
      </c>
      <c r="I29" s="1" t="s">
        <v>19</v>
      </c>
      <c r="J29" s="1" t="s">
        <v>20</v>
      </c>
    </row>
    <row r="30" spans="1:12" x14ac:dyDescent="0.2">
      <c r="A30" s="11">
        <v>2</v>
      </c>
      <c r="B30" s="3" t="s">
        <v>12</v>
      </c>
      <c r="C30" s="3">
        <v>300</v>
      </c>
      <c r="D30" s="3">
        <v>1</v>
      </c>
      <c r="E30" s="3">
        <v>1</v>
      </c>
      <c r="F30" s="3" t="s">
        <v>8</v>
      </c>
      <c r="H30" t="s">
        <v>25</v>
      </c>
      <c r="I30">
        <v>7</v>
      </c>
      <c r="J30">
        <v>4</v>
      </c>
    </row>
    <row r="31" spans="1:12" x14ac:dyDescent="0.2">
      <c r="A31" s="12">
        <v>3</v>
      </c>
      <c r="B31" s="6" t="s">
        <v>13</v>
      </c>
      <c r="C31" s="8">
        <v>550</v>
      </c>
      <c r="D31" s="8">
        <v>2</v>
      </c>
      <c r="E31" s="8">
        <v>2</v>
      </c>
      <c r="F31" s="6" t="s">
        <v>9</v>
      </c>
      <c r="H31" t="s">
        <v>21</v>
      </c>
      <c r="I31">
        <v>4</v>
      </c>
      <c r="J31">
        <v>2</v>
      </c>
    </row>
    <row r="32" spans="1:12" x14ac:dyDescent="0.2">
      <c r="A32" s="11">
        <v>4</v>
      </c>
      <c r="B32" s="3" t="s">
        <v>14</v>
      </c>
      <c r="C32" s="3">
        <v>400</v>
      </c>
      <c r="D32" s="3">
        <v>3</v>
      </c>
      <c r="E32" s="3">
        <v>3</v>
      </c>
      <c r="F32" s="3" t="s">
        <v>10</v>
      </c>
      <c r="H32" t="s">
        <v>22</v>
      </c>
      <c r="I32">
        <v>2</v>
      </c>
    </row>
    <row r="33" spans="1:12" x14ac:dyDescent="0.2">
      <c r="I33">
        <v>13</v>
      </c>
      <c r="J33">
        <v>6</v>
      </c>
      <c r="K33">
        <v>19</v>
      </c>
      <c r="L33" t="s">
        <v>23</v>
      </c>
    </row>
    <row r="35" spans="1:12" ht="18" x14ac:dyDescent="0.2">
      <c r="A35" s="13" t="s">
        <v>26</v>
      </c>
      <c r="B35" s="14"/>
      <c r="C35" s="14"/>
      <c r="D35" s="14"/>
      <c r="E35" s="14"/>
      <c r="F35" s="14"/>
      <c r="G35" s="14"/>
      <c r="H35" s="14"/>
    </row>
    <row r="36" spans="1:12" x14ac:dyDescent="0.2">
      <c r="A36" s="15" t="s">
        <v>2</v>
      </c>
      <c r="B36" s="15" t="s">
        <v>3</v>
      </c>
      <c r="C36" s="15" t="s">
        <v>5</v>
      </c>
      <c r="H36" s="1" t="s">
        <v>16</v>
      </c>
    </row>
    <row r="37" spans="1:12" x14ac:dyDescent="0.2">
      <c r="A37" s="2">
        <v>1</v>
      </c>
      <c r="B37" s="2" t="s">
        <v>11</v>
      </c>
      <c r="C37" s="2">
        <v>450</v>
      </c>
      <c r="H37" s="1" t="s">
        <v>17</v>
      </c>
      <c r="I37" s="1" t="s">
        <v>19</v>
      </c>
      <c r="J37" s="1" t="s">
        <v>20</v>
      </c>
    </row>
    <row r="38" spans="1:12" x14ac:dyDescent="0.2">
      <c r="A38" s="4">
        <v>3</v>
      </c>
      <c r="B38" s="4" t="s">
        <v>13</v>
      </c>
      <c r="C38" s="4">
        <v>550</v>
      </c>
      <c r="H38" t="s">
        <v>28</v>
      </c>
      <c r="I38">
        <v>4</v>
      </c>
      <c r="J38">
        <v>2</v>
      </c>
    </row>
    <row r="39" spans="1:12" x14ac:dyDescent="0.2">
      <c r="H39" t="s">
        <v>27</v>
      </c>
      <c r="I39">
        <v>5</v>
      </c>
      <c r="J39">
        <v>2</v>
      </c>
    </row>
    <row r="40" spans="1:12" x14ac:dyDescent="0.2">
      <c r="A40" s="15" t="s">
        <v>2</v>
      </c>
      <c r="B40" s="15" t="s">
        <v>3</v>
      </c>
      <c r="C40" s="15" t="s">
        <v>5</v>
      </c>
      <c r="D40" s="15" t="s">
        <v>4</v>
      </c>
      <c r="E40" s="15" t="s">
        <v>7</v>
      </c>
      <c r="H40" t="s">
        <v>22</v>
      </c>
      <c r="I40">
        <v>2</v>
      </c>
    </row>
    <row r="41" spans="1:12" x14ac:dyDescent="0.2">
      <c r="A41" s="2">
        <v>1</v>
      </c>
      <c r="B41" s="9" t="s">
        <v>11</v>
      </c>
      <c r="C41" s="2">
        <v>450</v>
      </c>
      <c r="D41" s="2">
        <v>3</v>
      </c>
      <c r="E41" s="9" t="s">
        <v>10</v>
      </c>
      <c r="I41">
        <v>9</v>
      </c>
      <c r="J41">
        <v>4</v>
      </c>
      <c r="K41">
        <v>13</v>
      </c>
      <c r="L41" t="s">
        <v>23</v>
      </c>
    </row>
    <row r="42" spans="1:12" x14ac:dyDescent="0.2">
      <c r="A42" s="4">
        <v>3</v>
      </c>
      <c r="B42" s="6" t="s">
        <v>13</v>
      </c>
      <c r="C42" s="4">
        <v>550</v>
      </c>
      <c r="D42" s="4">
        <v>2</v>
      </c>
      <c r="E42" s="6" t="s">
        <v>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C65E-CD2A-1244-88D4-48513D8DC35C}">
  <dimension ref="A3:R75"/>
  <sheetViews>
    <sheetView tabSelected="1" topLeftCell="A15" zoomScale="116" workbookViewId="0">
      <selection activeCell="C4" sqref="C4:N4"/>
    </sheetView>
  </sheetViews>
  <sheetFormatPr baseColWidth="10" defaultRowHeight="16" x14ac:dyDescent="0.2"/>
  <cols>
    <col min="1" max="1" width="66.5" customWidth="1"/>
    <col min="3" max="3" width="14" customWidth="1"/>
    <col min="14" max="14" width="14.5" customWidth="1"/>
  </cols>
  <sheetData>
    <row r="3" spans="1:18" ht="17" thickBot="1" x14ac:dyDescent="0.25">
      <c r="C3" s="19" t="s">
        <v>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 t="s">
        <v>6</v>
      </c>
      <c r="P3" s="20"/>
      <c r="Q3" s="20"/>
      <c r="R3" s="20"/>
    </row>
    <row r="4" spans="1:18" x14ac:dyDescent="0.2">
      <c r="A4" s="16" t="e" vm="1">
        <v>#VALUE!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</v>
      </c>
      <c r="M4" t="s">
        <v>40</v>
      </c>
      <c r="N4" t="s">
        <v>41</v>
      </c>
      <c r="O4" t="s">
        <v>4</v>
      </c>
      <c r="P4" t="s">
        <v>42</v>
      </c>
      <c r="Q4" t="s">
        <v>43</v>
      </c>
      <c r="R4" t="s">
        <v>44</v>
      </c>
    </row>
    <row r="5" spans="1:18" ht="17" thickBot="1" x14ac:dyDescent="0.25">
      <c r="A5" s="17"/>
    </row>
    <row r="6" spans="1:18" x14ac:dyDescent="0.2">
      <c r="A6" s="16" t="s">
        <v>29</v>
      </c>
    </row>
    <row r="7" spans="1:18" x14ac:dyDescent="0.2">
      <c r="A7" s="18"/>
    </row>
    <row r="8" spans="1:18" ht="17" thickBot="1" x14ac:dyDescent="0.25">
      <c r="A8" s="17"/>
    </row>
    <row r="9" spans="1:18" x14ac:dyDescent="0.2">
      <c r="A9" s="16" t="e" vm="2">
        <v>#VALUE!</v>
      </c>
    </row>
    <row r="10" spans="1:18" ht="17" thickBot="1" x14ac:dyDescent="0.25">
      <c r="A10" s="17"/>
    </row>
    <row r="11" spans="1:18" x14ac:dyDescent="0.2">
      <c r="A11" s="16" t="s">
        <v>29</v>
      </c>
    </row>
    <row r="12" spans="1:18" ht="17" thickBot="1" x14ac:dyDescent="0.25">
      <c r="A12" s="17"/>
    </row>
    <row r="13" spans="1:18" x14ac:dyDescent="0.2">
      <c r="A13" s="16" t="e" vm="3">
        <v>#VALUE!</v>
      </c>
    </row>
    <row r="14" spans="1:18" ht="17" thickBot="1" x14ac:dyDescent="0.25">
      <c r="A14" s="17"/>
    </row>
    <row r="15" spans="1:18" x14ac:dyDescent="0.2">
      <c r="A15" s="16" t="s">
        <v>29</v>
      </c>
    </row>
    <row r="16" spans="1:18" ht="17" thickBot="1" x14ac:dyDescent="0.25">
      <c r="A16" s="17"/>
    </row>
    <row r="20" spans="1:12" ht="18" x14ac:dyDescent="0.2">
      <c r="A20" s="13" t="s">
        <v>24</v>
      </c>
      <c r="B20" s="14"/>
      <c r="C20" s="14"/>
      <c r="D20" s="14"/>
      <c r="E20" s="14"/>
      <c r="F20" s="14"/>
      <c r="G20" s="14"/>
      <c r="H20" s="14"/>
    </row>
    <row r="21" spans="1:12" x14ac:dyDescent="0.2">
      <c r="A21" s="1" t="s">
        <v>2</v>
      </c>
      <c r="B21" s="5" t="s">
        <v>3</v>
      </c>
      <c r="C21" s="5" t="s">
        <v>5</v>
      </c>
      <c r="D21" s="5" t="s">
        <v>4</v>
      </c>
      <c r="E21" s="5" t="s">
        <v>4</v>
      </c>
      <c r="F21" s="5" t="s">
        <v>7</v>
      </c>
    </row>
    <row r="22" spans="1:12" x14ac:dyDescent="0.2">
      <c r="A22" s="10">
        <v>1</v>
      </c>
      <c r="B22" s="9" t="s">
        <v>11</v>
      </c>
      <c r="C22" s="7">
        <v>450</v>
      </c>
      <c r="D22" s="7">
        <v>3</v>
      </c>
      <c r="E22" s="7">
        <v>3</v>
      </c>
      <c r="F22" s="9" t="s">
        <v>10</v>
      </c>
    </row>
    <row r="23" spans="1:12" x14ac:dyDescent="0.2">
      <c r="A23" s="11">
        <v>2</v>
      </c>
      <c r="B23" s="3" t="s">
        <v>12</v>
      </c>
      <c r="C23" s="3">
        <v>300</v>
      </c>
      <c r="D23" s="3">
        <v>1</v>
      </c>
      <c r="E23" s="3">
        <v>1</v>
      </c>
      <c r="F23" s="3" t="s">
        <v>8</v>
      </c>
    </row>
    <row r="24" spans="1:12" x14ac:dyDescent="0.2">
      <c r="A24" s="12">
        <v>3</v>
      </c>
      <c r="B24" s="6" t="s">
        <v>13</v>
      </c>
      <c r="C24" s="8">
        <v>550</v>
      </c>
      <c r="D24" s="8">
        <v>2</v>
      </c>
      <c r="E24" s="8">
        <v>2</v>
      </c>
      <c r="F24" s="6" t="s">
        <v>9</v>
      </c>
    </row>
    <row r="25" spans="1:12" x14ac:dyDescent="0.2">
      <c r="A25" s="11">
        <v>4</v>
      </c>
      <c r="B25" s="3" t="s">
        <v>14</v>
      </c>
      <c r="C25" s="3">
        <v>400</v>
      </c>
      <c r="D25" s="3">
        <v>3</v>
      </c>
      <c r="E25" s="3">
        <v>3</v>
      </c>
      <c r="F25" s="3" t="s">
        <v>10</v>
      </c>
    </row>
    <row r="26" spans="1:12" x14ac:dyDescent="0.2">
      <c r="A26" s="1"/>
      <c r="K26">
        <v>19</v>
      </c>
      <c r="L26" t="s">
        <v>23</v>
      </c>
    </row>
    <row r="27" spans="1:12" x14ac:dyDescent="0.2">
      <c r="A27" s="1" t="s">
        <v>16</v>
      </c>
    </row>
    <row r="28" spans="1:12" x14ac:dyDescent="0.2">
      <c r="A28" s="1" t="s">
        <v>17</v>
      </c>
      <c r="B28" s="1" t="s">
        <v>19</v>
      </c>
      <c r="C28" s="1" t="s">
        <v>20</v>
      </c>
    </row>
    <row r="29" spans="1:12" x14ac:dyDescent="0.2">
      <c r="A29" t="s">
        <v>25</v>
      </c>
      <c r="B29">
        <v>7</v>
      </c>
      <c r="C29">
        <v>4</v>
      </c>
    </row>
    <row r="30" spans="1:12" x14ac:dyDescent="0.2">
      <c r="A30" t="s">
        <v>21</v>
      </c>
      <c r="B30">
        <v>4</v>
      </c>
      <c r="C30">
        <v>2</v>
      </c>
    </row>
    <row r="31" spans="1:12" x14ac:dyDescent="0.2">
      <c r="A31" t="s">
        <v>22</v>
      </c>
      <c r="B31">
        <v>2</v>
      </c>
    </row>
    <row r="32" spans="1:12" x14ac:dyDescent="0.2">
      <c r="B32">
        <v>13</v>
      </c>
      <c r="C32">
        <v>6</v>
      </c>
    </row>
    <row r="41" spans="1:5" x14ac:dyDescent="0.2">
      <c r="A41" s="21" t="s">
        <v>45</v>
      </c>
    </row>
    <row r="42" spans="1:5" x14ac:dyDescent="0.2">
      <c r="A42" s="21" t="s">
        <v>46</v>
      </c>
    </row>
    <row r="43" spans="1:5" x14ac:dyDescent="0.2">
      <c r="A43" s="21" t="s">
        <v>47</v>
      </c>
    </row>
    <row r="44" spans="1:5" x14ac:dyDescent="0.2">
      <c r="A44" s="21" t="s">
        <v>48</v>
      </c>
    </row>
    <row r="46" spans="1:5" ht="17" thickBot="1" x14ac:dyDescent="0.25">
      <c r="A46" s="22" t="s">
        <v>62</v>
      </c>
      <c r="B46" s="23"/>
      <c r="C46" s="23"/>
      <c r="D46" s="23"/>
      <c r="E46" s="23"/>
    </row>
    <row r="47" spans="1:5" x14ac:dyDescent="0.2">
      <c r="A47" s="24" t="e" vm="1">
        <v>#VALUE!</v>
      </c>
      <c r="B47" s="23"/>
      <c r="C47" s="23"/>
      <c r="D47" s="23"/>
      <c r="E47" s="23"/>
    </row>
    <row r="48" spans="1:5" ht="17" thickBot="1" x14ac:dyDescent="0.25">
      <c r="A48" s="25"/>
      <c r="B48" s="23"/>
      <c r="C48" s="23"/>
      <c r="D48" s="23"/>
      <c r="E48" s="23"/>
    </row>
    <row r="49" spans="1:5" x14ac:dyDescent="0.2">
      <c r="A49" s="23"/>
      <c r="B49" s="23"/>
      <c r="C49" s="23"/>
      <c r="D49" s="23"/>
      <c r="E49" s="23"/>
    </row>
    <row r="50" spans="1:5" x14ac:dyDescent="0.2">
      <c r="A50" s="26" t="s">
        <v>53</v>
      </c>
      <c r="B50" s="27" t="s">
        <v>54</v>
      </c>
      <c r="C50" s="27" t="s">
        <v>55</v>
      </c>
      <c r="D50" s="23"/>
      <c r="E50" s="23"/>
    </row>
    <row r="51" spans="1:5" x14ac:dyDescent="0.2">
      <c r="A51" s="26" t="s">
        <v>49</v>
      </c>
      <c r="B51" s="27">
        <f>10000 + 200</f>
        <v>10200</v>
      </c>
      <c r="C51" s="27">
        <f xml:space="preserve"> 10000*200</f>
        <v>2000000</v>
      </c>
      <c r="D51" s="23"/>
      <c r="E51" s="23"/>
    </row>
    <row r="52" spans="1:5" x14ac:dyDescent="0.2">
      <c r="A52" s="26" t="s">
        <v>50</v>
      </c>
      <c r="B52" s="27">
        <f xml:space="preserve"> 10000*200</f>
        <v>2000000</v>
      </c>
      <c r="C52" s="27">
        <v>20</v>
      </c>
      <c r="D52" s="23"/>
      <c r="E52" s="23"/>
    </row>
    <row r="53" spans="1:5" x14ac:dyDescent="0.2">
      <c r="A53" s="26" t="s">
        <v>51</v>
      </c>
      <c r="B53" s="27">
        <v>20</v>
      </c>
      <c r="C53" s="27">
        <v>0</v>
      </c>
      <c r="D53" s="23"/>
      <c r="E53" s="23"/>
    </row>
    <row r="54" spans="1:5" x14ac:dyDescent="0.2">
      <c r="A54" s="26" t="s">
        <v>52</v>
      </c>
      <c r="B54" s="27">
        <f>SUM(B51+B52+B53)</f>
        <v>2010220</v>
      </c>
      <c r="C54" s="27">
        <f>SUM(C51+C52+C53)</f>
        <v>2000020</v>
      </c>
      <c r="D54" s="27">
        <f>SUM(B54+C54)</f>
        <v>4010240</v>
      </c>
      <c r="E54" s="27" t="s">
        <v>23</v>
      </c>
    </row>
    <row r="55" spans="1:5" x14ac:dyDescent="0.2">
      <c r="A55" s="23"/>
      <c r="B55" s="23"/>
      <c r="C55" s="23"/>
      <c r="D55" s="23"/>
      <c r="E55" s="23"/>
    </row>
    <row r="56" spans="1:5" ht="17" thickBot="1" x14ac:dyDescent="0.25">
      <c r="A56" s="28" t="s">
        <v>63</v>
      </c>
      <c r="B56" s="23"/>
      <c r="C56" s="23"/>
      <c r="D56" s="23"/>
      <c r="E56" s="23"/>
    </row>
    <row r="57" spans="1:5" x14ac:dyDescent="0.2">
      <c r="A57" s="24" t="e" vm="2">
        <v>#VALUE!</v>
      </c>
      <c r="B57" s="23"/>
      <c r="C57" s="23"/>
      <c r="D57" s="23"/>
      <c r="E57" s="23"/>
    </row>
    <row r="58" spans="1:5" ht="17" thickBot="1" x14ac:dyDescent="0.25">
      <c r="A58" s="25"/>
      <c r="B58" s="23"/>
      <c r="C58" s="23"/>
      <c r="D58" s="23"/>
      <c r="E58" s="23"/>
    </row>
    <row r="59" spans="1:5" x14ac:dyDescent="0.2">
      <c r="A59" s="23"/>
      <c r="B59" s="23"/>
      <c r="C59" s="23"/>
      <c r="D59" s="23"/>
      <c r="E59" s="23"/>
    </row>
    <row r="60" spans="1:5" x14ac:dyDescent="0.2">
      <c r="A60" s="27" t="s">
        <v>58</v>
      </c>
      <c r="B60" s="27" t="s">
        <v>54</v>
      </c>
      <c r="C60" s="27" t="s">
        <v>55</v>
      </c>
      <c r="D60" s="27"/>
      <c r="E60" s="27"/>
    </row>
    <row r="61" spans="1:5" x14ac:dyDescent="0.2">
      <c r="A61" s="27" t="s">
        <v>56</v>
      </c>
      <c r="B61" s="27">
        <v>10000</v>
      </c>
      <c r="C61" s="27">
        <v>250</v>
      </c>
      <c r="D61" s="27"/>
      <c r="E61" s="27"/>
    </row>
    <row r="62" spans="1:5" x14ac:dyDescent="0.2">
      <c r="A62" s="27" t="s">
        <v>57</v>
      </c>
      <c r="B62" s="27">
        <v>450</v>
      </c>
      <c r="C62" s="27">
        <f>250*200</f>
        <v>50000</v>
      </c>
      <c r="D62" s="27"/>
      <c r="E62" s="27"/>
    </row>
    <row r="63" spans="1:5" x14ac:dyDescent="0.2">
      <c r="A63" s="27" t="s">
        <v>59</v>
      </c>
      <c r="B63" s="27">
        <v>50000</v>
      </c>
      <c r="C63" s="27">
        <v>20</v>
      </c>
      <c r="D63" s="27"/>
      <c r="E63" s="27"/>
    </row>
    <row r="64" spans="1:5" x14ac:dyDescent="0.2">
      <c r="A64" s="27" t="s">
        <v>51</v>
      </c>
      <c r="B64" s="27">
        <v>20</v>
      </c>
      <c r="C64" s="27">
        <v>0</v>
      </c>
      <c r="D64" s="27"/>
      <c r="E64" s="27"/>
    </row>
    <row r="65" spans="1:5" x14ac:dyDescent="0.2">
      <c r="A65" s="27" t="s">
        <v>52</v>
      </c>
      <c r="B65" s="27">
        <f>SUM(B61+B62+B63+B64)</f>
        <v>60470</v>
      </c>
      <c r="C65" s="27">
        <f>SUM(C61+C62+C63+C64)</f>
        <v>50270</v>
      </c>
      <c r="D65" s="27">
        <f>SUM(B65+C65)</f>
        <v>110740</v>
      </c>
      <c r="E65" s="27" t="s">
        <v>23</v>
      </c>
    </row>
    <row r="66" spans="1:5" x14ac:dyDescent="0.2">
      <c r="A66" s="23"/>
      <c r="B66" s="23"/>
      <c r="C66" s="23"/>
      <c r="D66" s="23"/>
      <c r="E66" s="23"/>
    </row>
    <row r="67" spans="1:5" ht="17" thickBot="1" x14ac:dyDescent="0.25">
      <c r="A67" s="28" t="s">
        <v>64</v>
      </c>
      <c r="B67" s="23"/>
      <c r="C67" s="23"/>
      <c r="D67" s="23"/>
      <c r="E67" s="23"/>
    </row>
    <row r="68" spans="1:5" x14ac:dyDescent="0.2">
      <c r="A68" s="24" t="e" vm="3">
        <v>#VALUE!</v>
      </c>
      <c r="B68" s="23"/>
      <c r="C68" s="23"/>
      <c r="D68" s="23"/>
      <c r="E68" s="23"/>
    </row>
    <row r="69" spans="1:5" ht="17" thickBot="1" x14ac:dyDescent="0.25">
      <c r="A69" s="25"/>
      <c r="B69" s="23"/>
      <c r="C69" s="23"/>
      <c r="D69" s="23"/>
      <c r="E69" s="23"/>
    </row>
    <row r="70" spans="1:5" x14ac:dyDescent="0.2">
      <c r="A70" s="23"/>
      <c r="B70" s="23"/>
      <c r="C70" s="23"/>
      <c r="D70" s="23"/>
      <c r="E70" s="23"/>
    </row>
    <row r="71" spans="1:5" x14ac:dyDescent="0.2">
      <c r="A71" s="27" t="s">
        <v>58</v>
      </c>
      <c r="B71" s="27" t="s">
        <v>54</v>
      </c>
      <c r="C71" s="27" t="s">
        <v>55</v>
      </c>
      <c r="D71" s="27"/>
      <c r="E71" s="27"/>
    </row>
    <row r="72" spans="1:5" x14ac:dyDescent="0.2">
      <c r="A72" s="27" t="s">
        <v>60</v>
      </c>
      <c r="B72" s="27">
        <f>10000+200</f>
        <v>10200</v>
      </c>
      <c r="C72" s="27">
        <f>10000*200</f>
        <v>2000000</v>
      </c>
      <c r="D72" s="27"/>
      <c r="E72" s="27"/>
    </row>
    <row r="73" spans="1:5" x14ac:dyDescent="0.2">
      <c r="A73" s="27" t="s">
        <v>61</v>
      </c>
      <c r="B73" s="27">
        <f>10000*200</f>
        <v>2000000</v>
      </c>
      <c r="C73" s="27">
        <v>20</v>
      </c>
      <c r="D73" s="27"/>
      <c r="E73" s="27"/>
    </row>
    <row r="74" spans="1:5" x14ac:dyDescent="0.2">
      <c r="A74" s="27" t="s">
        <v>51</v>
      </c>
      <c r="B74" s="27">
        <v>20</v>
      </c>
      <c r="C74" s="27">
        <v>0</v>
      </c>
      <c r="D74" s="27"/>
      <c r="E74" s="27"/>
    </row>
    <row r="75" spans="1:5" x14ac:dyDescent="0.2">
      <c r="A75" s="27" t="s">
        <v>52</v>
      </c>
      <c r="B75" s="27">
        <f>SUM(B72+B73+B74)</f>
        <v>2010220</v>
      </c>
      <c r="C75" s="27">
        <f>SUM(C72+C73+C74)</f>
        <v>2000020</v>
      </c>
      <c r="D75" s="27">
        <f>SUM(B75+C75)</f>
        <v>4010240</v>
      </c>
      <c r="E75" s="27" t="s">
        <v>23</v>
      </c>
    </row>
  </sheetData>
  <mergeCells count="11">
    <mergeCell ref="C3:N3"/>
    <mergeCell ref="O3:R3"/>
    <mergeCell ref="A47:A48"/>
    <mergeCell ref="A57:A58"/>
    <mergeCell ref="A68:A69"/>
    <mergeCell ref="A4:A5"/>
    <mergeCell ref="A6:A8"/>
    <mergeCell ref="A9:A10"/>
    <mergeCell ref="A11:A12"/>
    <mergeCell ref="A13:A14"/>
    <mergeCell ref="A15:A1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OLIVER SARAGURO REMACHE</dc:creator>
  <cp:lastModifiedBy>ROBERTO OLIVER SARAGURO REMACHE</cp:lastModifiedBy>
  <dcterms:created xsi:type="dcterms:W3CDTF">2024-06-19T12:53:46Z</dcterms:created>
  <dcterms:modified xsi:type="dcterms:W3CDTF">2024-07-02T04:25:30Z</dcterms:modified>
</cp:coreProperties>
</file>